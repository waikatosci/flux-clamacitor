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agritechconz-my.sharepoint.com/personal/adam_hartland_lincolnagritech_co_nz/Documents/Documents/Python/LAL work/ECP/Adam/Python/Corbicula analysis/Biovolume factor/"/>
    </mc:Choice>
  </mc:AlternateContent>
  <xr:revisionPtr revIDLastSave="71" documentId="13_ncr:1_{FB9910D3-86B1-4D76-A275-85F769C5103C}" xr6:coauthVersionLast="47" xr6:coauthVersionMax="47" xr10:uidLastSave="{8638E49E-D746-4AC9-8900-1158DF0086AA}"/>
  <bookViews>
    <workbookView xWindow="-120" yWindow="-120" windowWidth="29040" windowHeight="15720" activeTab="1" xr2:uid="{D1B4F29C-F6CE-487B-A43A-FABB6798CACF}"/>
  </bookViews>
  <sheets>
    <sheet name="corbicula density" sheetId="2" r:id="rId1"/>
    <sheet name="corbicula shell mas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/>
  <c r="K2" i="3"/>
  <c r="F32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K32" i="3"/>
  <c r="S3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</calcChain>
</file>

<file path=xl/sharedStrings.xml><?xml version="1.0" encoding="utf-8"?>
<sst xmlns="http://schemas.openxmlformats.org/spreadsheetml/2006/main" count="59" uniqueCount="55">
  <si>
    <t>Dry body</t>
  </si>
  <si>
    <t>Dry shell</t>
  </si>
  <si>
    <t>mean density_m2</t>
  </si>
  <si>
    <t>site</t>
  </si>
  <si>
    <t>lake</t>
  </si>
  <si>
    <t>Karaapiro</t>
  </si>
  <si>
    <t>Little Waipa</t>
  </si>
  <si>
    <t>Horahora</t>
  </si>
  <si>
    <t>Bobs landing</t>
  </si>
  <si>
    <t>Moana roa</t>
  </si>
  <si>
    <t>Waipuke</t>
  </si>
  <si>
    <t>sample</t>
  </si>
  <si>
    <t>large1</t>
  </si>
  <si>
    <t>large2</t>
  </si>
  <si>
    <t>large3</t>
  </si>
  <si>
    <t>large4</t>
  </si>
  <si>
    <t>large5</t>
  </si>
  <si>
    <t>large6</t>
  </si>
  <si>
    <t>large7</t>
  </si>
  <si>
    <t>large8</t>
  </si>
  <si>
    <t>large9</t>
  </si>
  <si>
    <t>large10</t>
  </si>
  <si>
    <t>medium1</t>
  </si>
  <si>
    <t>medium2</t>
  </si>
  <si>
    <t>medium3</t>
  </si>
  <si>
    <t>medium4</t>
  </si>
  <si>
    <t>medium5</t>
  </si>
  <si>
    <t>medium6</t>
  </si>
  <si>
    <t>medium7</t>
  </si>
  <si>
    <t>medium8</t>
  </si>
  <si>
    <t>medium9</t>
  </si>
  <si>
    <t>medium10</t>
  </si>
  <si>
    <t>small1</t>
  </si>
  <si>
    <t>small2</t>
  </si>
  <si>
    <t>small3</t>
  </si>
  <si>
    <t>small4</t>
  </si>
  <si>
    <t>small5</t>
  </si>
  <si>
    <t>small6</t>
  </si>
  <si>
    <t>small7</t>
  </si>
  <si>
    <t>small8</t>
  </si>
  <si>
    <t>small9</t>
  </si>
  <si>
    <t xml:space="preserve">Dry total </t>
  </si>
  <si>
    <t>length_mm</t>
  </si>
  <si>
    <t>height_mm</t>
  </si>
  <si>
    <t>width_mm</t>
  </si>
  <si>
    <t>Clam collection</t>
  </si>
  <si>
    <t xml:space="preserve">Date </t>
  </si>
  <si>
    <t>Density (g/cm3)</t>
  </si>
  <si>
    <t>Biovolume (ellipsoid) cm3</t>
  </si>
  <si>
    <t>Total mass/shell mass</t>
  </si>
  <si>
    <t>shell mass/total mass</t>
  </si>
  <si>
    <t>Average density</t>
  </si>
  <si>
    <t>Average volume</t>
  </si>
  <si>
    <t>Average total/shell mass ratio</t>
  </si>
  <si>
    <t>Average dry total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</si>
</sst>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31E1-517F-45BA-B839-18904FAEE502}">
  <dimension ref="A1:D6"/>
  <sheetViews>
    <sheetView workbookViewId="0">
      <selection activeCell="F18" sqref="F18"/>
    </sheetView>
  </sheetViews>
  <sheetFormatPr defaultRowHeight="15" x14ac:dyDescent="0.25"/>
  <cols>
    <col min="1" max="1" width="10.140625" bestFit="1" customWidth="1"/>
    <col min="2" max="2" width="11.42578125" customWidth="1"/>
    <col min="3" max="3" width="13.140625" customWidth="1"/>
  </cols>
  <sheetData>
    <row r="1" spans="1:4" x14ac:dyDescent="0.25">
      <c r="A1" t="s">
        <v>46</v>
      </c>
      <c r="B1" t="s">
        <v>4</v>
      </c>
      <c r="C1" t="s">
        <v>3</v>
      </c>
      <c r="D1" t="s">
        <v>2</v>
      </c>
    </row>
    <row r="2" spans="1:4" x14ac:dyDescent="0.25">
      <c r="A2" s="1">
        <v>45789</v>
      </c>
      <c r="B2" t="s">
        <v>5</v>
      </c>
      <c r="C2" t="s">
        <v>6</v>
      </c>
      <c r="D2">
        <v>7.1</v>
      </c>
    </row>
    <row r="3" spans="1:4" x14ac:dyDescent="0.25">
      <c r="A3" s="1">
        <v>45786</v>
      </c>
      <c r="B3" t="s">
        <v>5</v>
      </c>
      <c r="C3" t="s">
        <v>7</v>
      </c>
      <c r="D3">
        <v>830.3</v>
      </c>
    </row>
    <row r="4" spans="1:4" x14ac:dyDescent="0.25">
      <c r="A4" s="1">
        <v>45790</v>
      </c>
      <c r="B4" t="s">
        <v>5</v>
      </c>
      <c r="C4" t="s">
        <v>8</v>
      </c>
      <c r="D4">
        <v>394.7</v>
      </c>
    </row>
    <row r="5" spans="1:4" x14ac:dyDescent="0.25">
      <c r="A5" s="1">
        <v>45791</v>
      </c>
      <c r="B5" t="s">
        <v>5</v>
      </c>
      <c r="C5" t="s">
        <v>9</v>
      </c>
      <c r="D5">
        <v>418.4</v>
      </c>
    </row>
    <row r="6" spans="1:4" x14ac:dyDescent="0.25">
      <c r="A6" s="1">
        <v>45792</v>
      </c>
      <c r="B6" t="s">
        <v>5</v>
      </c>
      <c r="C6" t="s">
        <v>10</v>
      </c>
      <c r="D6">
        <v>1134.5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F974-57B8-4431-8AF3-0D07A1ED26DA}">
  <dimension ref="A1:S34"/>
  <sheetViews>
    <sheetView tabSelected="1" topLeftCell="E1" workbookViewId="0">
      <selection activeCell="O3" sqref="O3"/>
    </sheetView>
  </sheetViews>
  <sheetFormatPr defaultRowHeight="15" x14ac:dyDescent="0.25"/>
  <cols>
    <col min="1" max="1" width="18" customWidth="1"/>
    <col min="2" max="2" width="14.5703125" customWidth="1"/>
    <col min="3" max="3" width="23" customWidth="1"/>
    <col min="4" max="4" width="20.42578125" customWidth="1"/>
    <col min="5" max="5" width="23.5703125" customWidth="1"/>
    <col min="6" max="6" width="21.28515625" customWidth="1"/>
    <col min="7" max="7" width="20.5703125" customWidth="1"/>
    <col min="8" max="8" width="27.28515625" customWidth="1"/>
    <col min="10" max="10" width="12.5703125" customWidth="1"/>
    <col min="11" max="12" width="11.140625" customWidth="1"/>
    <col min="13" max="13" width="10.28515625" customWidth="1"/>
  </cols>
  <sheetData>
    <row r="1" spans="1:19" x14ac:dyDescent="0.25">
      <c r="A1" t="s">
        <v>45</v>
      </c>
      <c r="B1" t="s">
        <v>11</v>
      </c>
      <c r="C1" t="s">
        <v>42</v>
      </c>
      <c r="D1" t="s">
        <v>43</v>
      </c>
      <c r="E1" t="s">
        <v>44</v>
      </c>
      <c r="F1" t="s">
        <v>41</v>
      </c>
      <c r="G1" t="s">
        <v>0</v>
      </c>
      <c r="H1" t="s">
        <v>1</v>
      </c>
      <c r="I1" t="s">
        <v>50</v>
      </c>
      <c r="K1" t="s">
        <v>49</v>
      </c>
      <c r="O1" t="s">
        <v>47</v>
      </c>
      <c r="S1" t="s">
        <v>48</v>
      </c>
    </row>
    <row r="2" spans="1:19" x14ac:dyDescent="0.25">
      <c r="A2" s="1">
        <v>45898</v>
      </c>
      <c r="B2" t="s">
        <v>12</v>
      </c>
      <c r="C2">
        <v>26</v>
      </c>
      <c r="D2">
        <v>23</v>
      </c>
      <c r="E2">
        <v>17</v>
      </c>
      <c r="F2">
        <v>1.8171000000000002</v>
      </c>
      <c r="G2">
        <v>0.25520000000000009</v>
      </c>
      <c r="H2">
        <v>1.5619000000000001</v>
      </c>
      <c r="I2">
        <v>0.85955643607946697</v>
      </c>
      <c r="K2" s="2">
        <f>1/I2</f>
        <v>1.1633907420449456</v>
      </c>
      <c r="O2" s="3">
        <f>F2/S2</f>
        <v>0.3413737325503805</v>
      </c>
      <c r="S2" s="2">
        <f>(3.14159265359/6)*(C2/10)*(D2/10)*(E2/10)</f>
        <v>5.3229051527326563</v>
      </c>
    </row>
    <row r="3" spans="1:19" x14ac:dyDescent="0.25">
      <c r="A3" s="1">
        <v>45898</v>
      </c>
      <c r="B3" t="s">
        <v>13</v>
      </c>
      <c r="C3">
        <v>25</v>
      </c>
      <c r="D3">
        <v>21</v>
      </c>
      <c r="E3">
        <v>15</v>
      </c>
      <c r="F3">
        <v>2.5260999999999996</v>
      </c>
      <c r="G3">
        <v>0.24269999999999992</v>
      </c>
      <c r="H3">
        <v>2.2833999999999994</v>
      </c>
      <c r="I3">
        <v>0.90392304342662599</v>
      </c>
      <c r="K3" s="2">
        <f t="shared" ref="K3:K30" si="0">1/I3</f>
        <v>1.1062888674783218</v>
      </c>
      <c r="O3" s="3">
        <f t="shared" ref="O3:O30" si="1">F3/S3</f>
        <v>0.61263436456291087</v>
      </c>
      <c r="S3" s="2">
        <f t="shared" ref="S3:S30" si="2">(3.14159265359/6)*(C3/10)*(D3/10)*(E3/10)</f>
        <v>4.1233403578368755</v>
      </c>
    </row>
    <row r="4" spans="1:19" x14ac:dyDescent="0.25">
      <c r="A4" s="1">
        <v>45898</v>
      </c>
      <c r="B4" t="s">
        <v>14</v>
      </c>
      <c r="C4">
        <v>26.5</v>
      </c>
      <c r="D4">
        <v>24</v>
      </c>
      <c r="E4">
        <v>17</v>
      </c>
      <c r="F4">
        <v>3.5777999999999999</v>
      </c>
      <c r="G4">
        <v>0.28749999999999987</v>
      </c>
      <c r="H4">
        <v>3.2903000000000002</v>
      </c>
      <c r="I4">
        <v>0.91964335625244575</v>
      </c>
      <c r="K4" s="2">
        <f t="shared" si="0"/>
        <v>1.0873780506336808</v>
      </c>
      <c r="O4" s="3">
        <f t="shared" si="1"/>
        <v>0.63199173739638803</v>
      </c>
      <c r="S4" s="2">
        <f t="shared" si="2"/>
        <v>5.6611499617691798</v>
      </c>
    </row>
    <row r="5" spans="1:19" x14ac:dyDescent="0.25">
      <c r="A5" s="1">
        <v>45898</v>
      </c>
      <c r="B5" t="s">
        <v>15</v>
      </c>
      <c r="C5">
        <v>26</v>
      </c>
      <c r="D5">
        <v>24</v>
      </c>
      <c r="E5">
        <v>17</v>
      </c>
      <c r="F5">
        <v>3.6733000000000002</v>
      </c>
      <c r="G5">
        <v>0.27529999999999988</v>
      </c>
      <c r="H5">
        <v>3.3980000000000006</v>
      </c>
      <c r="I5">
        <v>0.92505376636811598</v>
      </c>
      <c r="K5" s="2">
        <f t="shared" si="0"/>
        <v>1.0810182460270745</v>
      </c>
      <c r="O5" s="3">
        <f t="shared" si="1"/>
        <v>0.66133919961472931</v>
      </c>
      <c r="S5" s="2">
        <f t="shared" si="2"/>
        <v>5.5543358115471202</v>
      </c>
    </row>
    <row r="6" spans="1:19" x14ac:dyDescent="0.25">
      <c r="A6" s="1">
        <v>45898</v>
      </c>
      <c r="B6" t="s">
        <v>16</v>
      </c>
      <c r="C6">
        <v>25.5</v>
      </c>
      <c r="D6">
        <v>22</v>
      </c>
      <c r="E6">
        <v>16</v>
      </c>
      <c r="F6">
        <v>3.4552999999999998</v>
      </c>
      <c r="G6">
        <v>0.2367999999999999</v>
      </c>
      <c r="H6">
        <v>3.2184999999999997</v>
      </c>
      <c r="I6">
        <v>0.93146760049778599</v>
      </c>
      <c r="K6" s="2">
        <f t="shared" si="0"/>
        <v>1.0735746465744913</v>
      </c>
      <c r="O6" s="3">
        <f t="shared" si="1"/>
        <v>0.73519796104998603</v>
      </c>
      <c r="S6" s="2">
        <f t="shared" si="2"/>
        <v>4.6998226097706413</v>
      </c>
    </row>
    <row r="7" spans="1:19" x14ac:dyDescent="0.25">
      <c r="A7" s="1">
        <v>45898</v>
      </c>
      <c r="B7" t="s">
        <v>17</v>
      </c>
      <c r="C7">
        <v>25</v>
      </c>
      <c r="D7">
        <v>21.5</v>
      </c>
      <c r="E7">
        <v>15</v>
      </c>
      <c r="F7">
        <v>2.5808</v>
      </c>
      <c r="G7">
        <v>0.2027000000000001</v>
      </c>
      <c r="H7">
        <v>2.3780999999999999</v>
      </c>
      <c r="I7">
        <v>0.92145846249225039</v>
      </c>
      <c r="K7" s="2">
        <f t="shared" si="0"/>
        <v>1.0852361128632102</v>
      </c>
      <c r="O7" s="3">
        <f t="shared" si="1"/>
        <v>0.61134448689344956</v>
      </c>
      <c r="S7" s="2">
        <f t="shared" si="2"/>
        <v>4.2215151282615624</v>
      </c>
    </row>
    <row r="8" spans="1:19" x14ac:dyDescent="0.25">
      <c r="A8" s="1">
        <v>45898</v>
      </c>
      <c r="B8" t="s">
        <v>18</v>
      </c>
      <c r="C8">
        <v>25</v>
      </c>
      <c r="D8">
        <v>22</v>
      </c>
      <c r="E8">
        <v>16</v>
      </c>
      <c r="F8">
        <v>3.2904999999999998</v>
      </c>
      <c r="G8">
        <v>0.33499999999999996</v>
      </c>
      <c r="H8">
        <v>2.9554999999999998</v>
      </c>
      <c r="I8">
        <v>0.89819176416957913</v>
      </c>
      <c r="K8" s="2">
        <f t="shared" si="0"/>
        <v>1.1133479952630687</v>
      </c>
      <c r="O8" s="3">
        <f t="shared" si="1"/>
        <v>0.71413546396888228</v>
      </c>
      <c r="S8" s="2">
        <f t="shared" si="2"/>
        <v>4.607669225265334</v>
      </c>
    </row>
    <row r="9" spans="1:19" x14ac:dyDescent="0.25">
      <c r="A9" s="1">
        <v>45898</v>
      </c>
      <c r="B9" t="s">
        <v>19</v>
      </c>
      <c r="C9">
        <v>26</v>
      </c>
      <c r="D9">
        <v>22</v>
      </c>
      <c r="E9">
        <v>16</v>
      </c>
      <c r="F9">
        <v>2.7214</v>
      </c>
      <c r="G9">
        <v>0.24919999999999987</v>
      </c>
      <c r="H9">
        <v>2.4722</v>
      </c>
      <c r="I9">
        <v>0.90842948482398767</v>
      </c>
      <c r="K9" s="2">
        <f t="shared" si="0"/>
        <v>1.1008009060755601</v>
      </c>
      <c r="O9" s="3">
        <f t="shared" si="1"/>
        <v>0.56790768635960065</v>
      </c>
      <c r="S9" s="2">
        <f t="shared" si="2"/>
        <v>4.7919759942759468</v>
      </c>
    </row>
    <row r="10" spans="1:19" x14ac:dyDescent="0.25">
      <c r="A10" s="1">
        <v>45898</v>
      </c>
      <c r="B10" t="s">
        <v>20</v>
      </c>
      <c r="C10">
        <v>25</v>
      </c>
      <c r="D10">
        <v>21</v>
      </c>
      <c r="E10">
        <v>15</v>
      </c>
      <c r="F10">
        <v>2.1491999999999996</v>
      </c>
      <c r="G10">
        <v>0.22750000000000004</v>
      </c>
      <c r="H10">
        <v>1.9216999999999995</v>
      </c>
      <c r="I10">
        <v>0.89414665922203607</v>
      </c>
      <c r="K10" s="2">
        <f t="shared" si="0"/>
        <v>1.1183847634906594</v>
      </c>
      <c r="O10" s="3">
        <f t="shared" si="1"/>
        <v>0.52122789134183445</v>
      </c>
      <c r="S10" s="2">
        <f t="shared" si="2"/>
        <v>4.1233403578368755</v>
      </c>
    </row>
    <row r="11" spans="1:19" x14ac:dyDescent="0.25">
      <c r="A11" s="1">
        <v>45898</v>
      </c>
      <c r="B11" t="s">
        <v>21</v>
      </c>
      <c r="C11">
        <v>25</v>
      </c>
      <c r="D11">
        <v>21</v>
      </c>
      <c r="E11">
        <v>16</v>
      </c>
      <c r="F11">
        <v>2.6195000000000004</v>
      </c>
      <c r="G11">
        <v>0.23109999999999986</v>
      </c>
      <c r="H11">
        <v>2.3884000000000007</v>
      </c>
      <c r="I11">
        <v>0.91177705669020825</v>
      </c>
      <c r="K11" s="2">
        <f t="shared" si="0"/>
        <v>1.0967593367945065</v>
      </c>
      <c r="O11" s="3">
        <f t="shared" si="1"/>
        <v>0.59558053347027484</v>
      </c>
      <c r="S11" s="2">
        <f t="shared" si="2"/>
        <v>4.3982297150260008</v>
      </c>
    </row>
    <row r="12" spans="1:19" x14ac:dyDescent="0.25">
      <c r="A12" s="1">
        <v>45898</v>
      </c>
      <c r="B12" t="s">
        <v>22</v>
      </c>
      <c r="C12">
        <v>19</v>
      </c>
      <c r="D12">
        <v>16</v>
      </c>
      <c r="E12">
        <v>12</v>
      </c>
      <c r="F12">
        <v>0.79549999999999987</v>
      </c>
      <c r="G12">
        <v>0.14750000000000019</v>
      </c>
      <c r="H12">
        <v>0.64799999999999969</v>
      </c>
      <c r="I12">
        <v>0.81458202388434919</v>
      </c>
      <c r="K12" s="2">
        <f t="shared" si="0"/>
        <v>1.2276234567901239</v>
      </c>
      <c r="O12" s="3">
        <f t="shared" si="1"/>
        <v>0.41647288562366575</v>
      </c>
      <c r="S12" s="2">
        <f t="shared" si="2"/>
        <v>1.9100883333827199</v>
      </c>
    </row>
    <row r="13" spans="1:19" x14ac:dyDescent="0.25">
      <c r="A13" s="1">
        <v>45898</v>
      </c>
      <c r="B13" t="s">
        <v>23</v>
      </c>
      <c r="C13">
        <v>17</v>
      </c>
      <c r="D13">
        <v>16</v>
      </c>
      <c r="E13">
        <v>12</v>
      </c>
      <c r="F13">
        <v>2.6356999999999999</v>
      </c>
      <c r="G13">
        <v>0.45039999999999991</v>
      </c>
      <c r="H13">
        <v>2.1852999999999998</v>
      </c>
      <c r="I13">
        <v>0.82911560496262848</v>
      </c>
      <c r="K13" s="2">
        <f t="shared" si="0"/>
        <v>1.2061044250217363</v>
      </c>
      <c r="O13" s="3">
        <f t="shared" si="1"/>
        <v>1.5422231011297092</v>
      </c>
      <c r="S13" s="2">
        <f t="shared" si="2"/>
        <v>1.7090264035529601</v>
      </c>
    </row>
    <row r="14" spans="1:19" x14ac:dyDescent="0.25">
      <c r="A14" s="1">
        <v>45898</v>
      </c>
      <c r="B14" t="s">
        <v>24</v>
      </c>
      <c r="C14">
        <v>17</v>
      </c>
      <c r="D14">
        <v>15</v>
      </c>
      <c r="E14">
        <v>10</v>
      </c>
      <c r="F14">
        <v>0.81209999999999982</v>
      </c>
      <c r="G14">
        <v>0.13870000000000005</v>
      </c>
      <c r="H14">
        <v>0.67339999999999978</v>
      </c>
      <c r="I14">
        <v>0.82920822558798168</v>
      </c>
      <c r="K14" s="2">
        <f t="shared" si="0"/>
        <v>1.2059697059697061</v>
      </c>
      <c r="O14" s="3">
        <f t="shared" si="1"/>
        <v>0.60823402016432782</v>
      </c>
      <c r="S14" s="2">
        <f t="shared" si="2"/>
        <v>1.33517687777575</v>
      </c>
    </row>
    <row r="15" spans="1:19" x14ac:dyDescent="0.25">
      <c r="A15" s="1">
        <v>45898</v>
      </c>
      <c r="B15" t="s">
        <v>25</v>
      </c>
      <c r="C15">
        <v>18</v>
      </c>
      <c r="D15">
        <v>16</v>
      </c>
      <c r="E15">
        <v>11</v>
      </c>
      <c r="F15">
        <v>1.0118000000000003</v>
      </c>
      <c r="G15">
        <v>0.14090000000000003</v>
      </c>
      <c r="H15">
        <v>0.87090000000000023</v>
      </c>
      <c r="I15">
        <v>0.86074322988732954</v>
      </c>
      <c r="K15" s="2">
        <f t="shared" si="0"/>
        <v>1.1617866574807669</v>
      </c>
      <c r="O15" s="3">
        <f t="shared" si="1"/>
        <v>0.60997337659230721</v>
      </c>
      <c r="S15" s="2">
        <f t="shared" si="2"/>
        <v>1.6587609210955203</v>
      </c>
    </row>
    <row r="16" spans="1:19" x14ac:dyDescent="0.25">
      <c r="A16" s="1">
        <v>45898</v>
      </c>
      <c r="B16" t="s">
        <v>26</v>
      </c>
      <c r="C16">
        <v>14</v>
      </c>
      <c r="D16">
        <v>16</v>
      </c>
      <c r="E16">
        <v>12</v>
      </c>
      <c r="F16">
        <v>1.1120999999999999</v>
      </c>
      <c r="G16">
        <v>0.14559999999999995</v>
      </c>
      <c r="H16">
        <v>0.96649999999999991</v>
      </c>
      <c r="I16">
        <v>0.86907652189551299</v>
      </c>
      <c r="K16" s="2">
        <f t="shared" si="0"/>
        <v>1.1506466632177961</v>
      </c>
      <c r="O16" s="3">
        <f t="shared" si="1"/>
        <v>0.79016166166288015</v>
      </c>
      <c r="S16" s="2">
        <f t="shared" si="2"/>
        <v>1.4074335088083199</v>
      </c>
    </row>
    <row r="17" spans="1:19" x14ac:dyDescent="0.25">
      <c r="A17" s="1">
        <v>45898</v>
      </c>
      <c r="B17" t="s">
        <v>27</v>
      </c>
      <c r="C17">
        <v>16</v>
      </c>
      <c r="D17">
        <v>14.5</v>
      </c>
      <c r="E17">
        <v>10</v>
      </c>
      <c r="F17">
        <v>1.2391000000000001</v>
      </c>
      <c r="G17">
        <v>0.15129999999999999</v>
      </c>
      <c r="H17">
        <v>1.0878000000000001</v>
      </c>
      <c r="I17">
        <v>0.87789524654991524</v>
      </c>
      <c r="K17" s="2">
        <f t="shared" si="0"/>
        <v>1.1390880676594963</v>
      </c>
      <c r="O17" s="3">
        <f t="shared" si="1"/>
        <v>1.0200459826818338</v>
      </c>
      <c r="S17" s="2">
        <f t="shared" si="2"/>
        <v>1.2147491593881334</v>
      </c>
    </row>
    <row r="18" spans="1:19" x14ac:dyDescent="0.25">
      <c r="A18" s="1">
        <v>45898</v>
      </c>
      <c r="B18" t="s">
        <v>28</v>
      </c>
      <c r="C18">
        <v>15</v>
      </c>
      <c r="D18">
        <v>14</v>
      </c>
      <c r="E18">
        <v>10</v>
      </c>
      <c r="F18">
        <v>0.77289999999999992</v>
      </c>
      <c r="G18">
        <v>0.12829999999999986</v>
      </c>
      <c r="H18">
        <v>0.64460000000000006</v>
      </c>
      <c r="I18">
        <v>0.83400181135981388</v>
      </c>
      <c r="K18" s="2">
        <f t="shared" si="0"/>
        <v>1.1990381632019855</v>
      </c>
      <c r="O18" s="3">
        <f t="shared" si="1"/>
        <v>0.70291917437553031</v>
      </c>
      <c r="S18" s="2">
        <f t="shared" si="2"/>
        <v>1.0995574287565</v>
      </c>
    </row>
    <row r="19" spans="1:19" x14ac:dyDescent="0.25">
      <c r="A19" s="1">
        <v>45898</v>
      </c>
      <c r="B19" t="s">
        <v>29</v>
      </c>
      <c r="C19">
        <v>18</v>
      </c>
      <c r="D19">
        <v>16</v>
      </c>
      <c r="E19">
        <v>11</v>
      </c>
      <c r="F19">
        <v>0.8803000000000003</v>
      </c>
      <c r="G19">
        <v>0.13610000000000011</v>
      </c>
      <c r="H19">
        <v>0.74420000000000019</v>
      </c>
      <c r="I19">
        <v>0.84539361581279104</v>
      </c>
      <c r="K19" s="2">
        <f t="shared" si="0"/>
        <v>1.1828809459822629</v>
      </c>
      <c r="O19" s="3">
        <f t="shared" si="1"/>
        <v>0.53069733486282678</v>
      </c>
      <c r="S19" s="2">
        <f t="shared" si="2"/>
        <v>1.6587609210955203</v>
      </c>
    </row>
    <row r="20" spans="1:19" x14ac:dyDescent="0.25">
      <c r="A20" s="1">
        <v>45898</v>
      </c>
      <c r="B20" t="s">
        <v>30</v>
      </c>
      <c r="C20">
        <v>18</v>
      </c>
      <c r="D20">
        <v>16</v>
      </c>
      <c r="E20">
        <v>11</v>
      </c>
      <c r="F20">
        <v>0.70620000000000016</v>
      </c>
      <c r="G20">
        <v>0.14770000000000016</v>
      </c>
      <c r="H20">
        <v>0.5585</v>
      </c>
      <c r="I20">
        <v>0.79085244973095425</v>
      </c>
      <c r="K20" s="2">
        <f t="shared" si="0"/>
        <v>1.2644583706356314</v>
      </c>
      <c r="O20" s="3">
        <f t="shared" si="1"/>
        <v>0.42573947277079199</v>
      </c>
      <c r="S20" s="2">
        <f t="shared" si="2"/>
        <v>1.6587609210955203</v>
      </c>
    </row>
    <row r="21" spans="1:19" x14ac:dyDescent="0.25">
      <c r="A21" s="1">
        <v>45898</v>
      </c>
      <c r="B21" t="s">
        <v>31</v>
      </c>
      <c r="C21">
        <v>18</v>
      </c>
      <c r="D21">
        <v>16</v>
      </c>
      <c r="E21">
        <v>10.5</v>
      </c>
      <c r="F21">
        <v>1.3880000000000001</v>
      </c>
      <c r="G21">
        <v>0.14559999999999995</v>
      </c>
      <c r="H21">
        <v>1.2424000000000002</v>
      </c>
      <c r="I21">
        <v>0.89510086455331417</v>
      </c>
      <c r="K21" s="2">
        <f t="shared" si="0"/>
        <v>1.1171925305859627</v>
      </c>
      <c r="O21" s="3">
        <f t="shared" si="1"/>
        <v>0.87661532147434995</v>
      </c>
      <c r="S21" s="2">
        <f t="shared" si="2"/>
        <v>1.5833626974093602</v>
      </c>
    </row>
    <row r="22" spans="1:19" x14ac:dyDescent="0.25">
      <c r="A22" s="1">
        <v>45898</v>
      </c>
      <c r="B22" t="s">
        <v>32</v>
      </c>
      <c r="C22">
        <v>9.5</v>
      </c>
      <c r="D22">
        <v>8</v>
      </c>
      <c r="E22">
        <v>6</v>
      </c>
      <c r="F22">
        <v>1.2915999999999999</v>
      </c>
      <c r="G22">
        <v>0.10529999999999995</v>
      </c>
      <c r="H22">
        <v>1.1862999999999999</v>
      </c>
      <c r="I22">
        <v>0.91847321152059469</v>
      </c>
      <c r="K22" s="2">
        <f t="shared" si="0"/>
        <v>1.0887633819438589</v>
      </c>
      <c r="O22" s="3">
        <f t="shared" si="1"/>
        <v>5.409592749933644</v>
      </c>
      <c r="S22" s="2">
        <f t="shared" si="2"/>
        <v>0.23876104167283999</v>
      </c>
    </row>
    <row r="23" spans="1:19" x14ac:dyDescent="0.25">
      <c r="A23" s="1">
        <v>45898</v>
      </c>
      <c r="B23" t="s">
        <v>33</v>
      </c>
      <c r="C23">
        <v>8.5</v>
      </c>
      <c r="D23">
        <v>7</v>
      </c>
      <c r="E23">
        <v>5</v>
      </c>
      <c r="F23">
        <v>0.20689999999999986</v>
      </c>
      <c r="G23">
        <v>2.4899999999999922E-2</v>
      </c>
      <c r="H23">
        <v>0.18199999999999994</v>
      </c>
      <c r="I23">
        <v>0.87965200579990366</v>
      </c>
      <c r="K23" s="2">
        <f t="shared" si="0"/>
        <v>1.1368131868131863</v>
      </c>
      <c r="O23" s="3">
        <f t="shared" si="1"/>
        <v>1.3282349334740553</v>
      </c>
      <c r="S23" s="2">
        <f t="shared" si="2"/>
        <v>0.15577063574050418</v>
      </c>
    </row>
    <row r="24" spans="1:19" x14ac:dyDescent="0.25">
      <c r="A24" s="1">
        <v>45898</v>
      </c>
      <c r="B24" t="s">
        <v>34</v>
      </c>
      <c r="C24">
        <v>11</v>
      </c>
      <c r="D24">
        <v>9</v>
      </c>
      <c r="E24">
        <v>7</v>
      </c>
      <c r="F24">
        <v>1.4593999999999998</v>
      </c>
      <c r="G24">
        <v>2.0999999999999908E-2</v>
      </c>
      <c r="H24">
        <v>1.4383999999999999</v>
      </c>
      <c r="I24">
        <v>0.98561052487323564</v>
      </c>
      <c r="K24" s="2">
        <f t="shared" si="0"/>
        <v>1.014599555061179</v>
      </c>
      <c r="O24" s="3">
        <f t="shared" si="1"/>
        <v>4.0220038778925833</v>
      </c>
      <c r="S24" s="2">
        <f t="shared" si="2"/>
        <v>0.36285395148964505</v>
      </c>
    </row>
    <row r="25" spans="1:19" x14ac:dyDescent="0.25">
      <c r="A25" s="1">
        <v>45898</v>
      </c>
      <c r="B25" t="s">
        <v>35</v>
      </c>
      <c r="C25">
        <v>9</v>
      </c>
      <c r="D25">
        <v>7</v>
      </c>
      <c r="E25">
        <v>5</v>
      </c>
      <c r="F25">
        <v>0.21560000000000001</v>
      </c>
      <c r="G25">
        <v>2.5499999999999856E-2</v>
      </c>
      <c r="H25">
        <v>0.19010000000000016</v>
      </c>
      <c r="I25">
        <v>0.88172541743970378</v>
      </c>
      <c r="K25" s="2">
        <f t="shared" si="0"/>
        <v>1.1341399263545495</v>
      </c>
      <c r="O25" s="3">
        <f t="shared" si="1"/>
        <v>1.3071925992613478</v>
      </c>
      <c r="S25" s="2">
        <f t="shared" si="2"/>
        <v>0.164933614313475</v>
      </c>
    </row>
    <row r="26" spans="1:19" x14ac:dyDescent="0.25">
      <c r="A26" s="1">
        <v>45898</v>
      </c>
      <c r="B26" t="s">
        <v>36</v>
      </c>
      <c r="C26">
        <v>6</v>
      </c>
      <c r="D26">
        <v>5</v>
      </c>
      <c r="E26">
        <v>4</v>
      </c>
      <c r="F26">
        <v>8.8000000000000078E-2</v>
      </c>
      <c r="G26">
        <v>1.1400000000000077E-2</v>
      </c>
      <c r="H26">
        <v>7.6600000000000001E-2</v>
      </c>
      <c r="I26">
        <v>0.8704545454545447</v>
      </c>
      <c r="K26" s="2">
        <f t="shared" si="0"/>
        <v>1.1488250652741525</v>
      </c>
      <c r="O26" s="3">
        <f t="shared" si="1"/>
        <v>1.400563499208588</v>
      </c>
      <c r="S26" s="2">
        <f t="shared" si="2"/>
        <v>6.2831853071800003E-2</v>
      </c>
    </row>
    <row r="27" spans="1:19" x14ac:dyDescent="0.25">
      <c r="A27" s="1">
        <v>45898</v>
      </c>
      <c r="B27" t="s">
        <v>37</v>
      </c>
      <c r="C27">
        <v>10</v>
      </c>
      <c r="D27">
        <v>5</v>
      </c>
      <c r="E27">
        <v>6</v>
      </c>
      <c r="F27">
        <v>0.35499999999999998</v>
      </c>
      <c r="G27">
        <v>2.8999999999999915E-2</v>
      </c>
      <c r="H27">
        <v>0.32600000000000007</v>
      </c>
      <c r="I27">
        <v>0.9183098591549298</v>
      </c>
      <c r="K27" s="2">
        <f t="shared" si="0"/>
        <v>1.0889570552147236</v>
      </c>
      <c r="O27" s="3">
        <f t="shared" si="1"/>
        <v>2.2600001919047648</v>
      </c>
      <c r="S27" s="2">
        <f t="shared" si="2"/>
        <v>0.15707963267950001</v>
      </c>
    </row>
    <row r="28" spans="1:19" x14ac:dyDescent="0.25">
      <c r="A28" s="1">
        <v>45898</v>
      </c>
      <c r="B28" t="s">
        <v>38</v>
      </c>
      <c r="C28">
        <v>10</v>
      </c>
      <c r="D28">
        <v>9</v>
      </c>
      <c r="E28">
        <v>5</v>
      </c>
      <c r="F28">
        <v>0.37270000000000003</v>
      </c>
      <c r="G28">
        <v>2.5900000000000034E-2</v>
      </c>
      <c r="H28">
        <v>0.3468</v>
      </c>
      <c r="I28">
        <v>0.93050711027636157</v>
      </c>
      <c r="K28" s="2">
        <f t="shared" si="0"/>
        <v>1.0746828143021916</v>
      </c>
      <c r="O28" s="3">
        <f t="shared" si="1"/>
        <v>1.5817879277425464</v>
      </c>
      <c r="S28" s="2">
        <f t="shared" si="2"/>
        <v>0.23561944901925</v>
      </c>
    </row>
    <row r="29" spans="1:19" x14ac:dyDescent="0.25">
      <c r="A29" s="1">
        <v>45898</v>
      </c>
      <c r="B29" t="s">
        <v>39</v>
      </c>
      <c r="C29">
        <v>9</v>
      </c>
      <c r="D29">
        <v>7</v>
      </c>
      <c r="E29">
        <v>5</v>
      </c>
      <c r="F29">
        <v>0.21249999999999991</v>
      </c>
      <c r="G29">
        <v>2.4999999999999911E-2</v>
      </c>
      <c r="H29">
        <v>0.1875</v>
      </c>
      <c r="I29">
        <v>0.88235294117647101</v>
      </c>
      <c r="K29" s="2">
        <f t="shared" si="0"/>
        <v>1.1333333333333329</v>
      </c>
      <c r="O29" s="3">
        <f t="shared" si="1"/>
        <v>1.2883971583628768</v>
      </c>
      <c r="S29" s="2">
        <f t="shared" si="2"/>
        <v>0.164933614313475</v>
      </c>
    </row>
    <row r="30" spans="1:19" x14ac:dyDescent="0.25">
      <c r="A30" s="1">
        <v>45898</v>
      </c>
      <c r="B30" t="s">
        <v>40</v>
      </c>
      <c r="C30">
        <v>9</v>
      </c>
      <c r="D30">
        <v>7</v>
      </c>
      <c r="E30">
        <v>5</v>
      </c>
      <c r="F30">
        <v>0.22330000000000005</v>
      </c>
      <c r="G30">
        <v>2.53000000000001E-2</v>
      </c>
      <c r="H30">
        <v>0.19799999999999995</v>
      </c>
      <c r="I30">
        <v>0.88669950738916214</v>
      </c>
      <c r="K30" s="2">
        <f t="shared" si="0"/>
        <v>1.1277777777777782</v>
      </c>
      <c r="O30" s="3">
        <f t="shared" si="1"/>
        <v>1.3538780492349676</v>
      </c>
      <c r="S30" s="2">
        <f t="shared" si="2"/>
        <v>0.164933614313475</v>
      </c>
    </row>
    <row r="32" spans="1:19" x14ac:dyDescent="0.25">
      <c r="F32" s="4">
        <f>AVERAGE(F2:F30)</f>
        <v>1.5237827586206898</v>
      </c>
      <c r="K32" s="2">
        <f>AVERAGE(K2:K30)</f>
        <v>1.13202968102986</v>
      </c>
      <c r="O32" s="2">
        <f>AVERAGE(O2:O30)</f>
        <v>1.1540505646745529</v>
      </c>
      <c r="S32" s="2">
        <f>AVERAGE(S2:S30)</f>
        <v>2.2223337549412565</v>
      </c>
    </row>
    <row r="33" spans="6:19" x14ac:dyDescent="0.25">
      <c r="F33" t="s">
        <v>54</v>
      </c>
      <c r="K33" t="s">
        <v>53</v>
      </c>
      <c r="O33" t="s">
        <v>51</v>
      </c>
      <c r="S33" t="s">
        <v>52</v>
      </c>
    </row>
    <row r="34" spans="6:19" x14ac:dyDescent="0.25">
      <c r="K3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corbicula density</vt:lpstr>
      <vt:lpstr>corbicula shell 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Melchior</dc:creator>
  <cp:lastModifiedBy>Adam Hartland</cp:lastModifiedBy>
  <dcterms:created xsi:type="dcterms:W3CDTF">2025-09-22T03:35:42Z</dcterms:created>
  <dcterms:modified xsi:type="dcterms:W3CDTF">2025-09-29T02:03:27Z</dcterms:modified>
</cp:coreProperties>
</file>